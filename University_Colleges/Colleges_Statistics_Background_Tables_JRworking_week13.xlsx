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ditremenyi/Desktop/Code_division/Women_Future_Skills_Course_22weeks/Week13/Submission/Submission_Preparations/Interactive_LineChart_PowerBI/Cleaned_Validated_Working_datasets_JR_week13/"/>
    </mc:Choice>
  </mc:AlternateContent>
  <xr:revisionPtr revIDLastSave="0" documentId="13_ncr:1_{985C39FA-C925-DF47-9FC3-7435DAE45775}" xr6:coauthVersionLast="36" xr6:coauthVersionMax="36" xr10:uidLastSave="{00000000-0000-0000-0000-000000000000}"/>
  <bookViews>
    <workbookView xWindow="400" yWindow="1140" windowWidth="27680" windowHeight="16780" xr2:uid="{3AE2C7BC-7EE0-E748-ADC6-32CBB40F5C77}"/>
  </bookViews>
  <sheets>
    <sheet name="Table_6" sheetId="3" r:id="rId1"/>
    <sheet name="Table_6_graph" sheetId="4" r:id="rId2"/>
    <sheet name="Table_13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3" l="1"/>
  <c r="I27" i="3"/>
  <c r="E25" i="3"/>
  <c r="K25" i="3"/>
  <c r="J25" i="3"/>
  <c r="I25" i="3"/>
  <c r="H2" i="3"/>
  <c r="G2" i="3"/>
  <c r="H3" i="3"/>
  <c r="H23" i="5" l="1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" i="5"/>
  <c r="H12" i="3"/>
  <c r="H18" i="3" l="1"/>
  <c r="H19" i="3"/>
  <c r="H20" i="3"/>
  <c r="G3" i="3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G13" i="3"/>
  <c r="H13" i="3" s="1"/>
  <c r="G14" i="3"/>
  <c r="H14" i="3" s="1"/>
  <c r="G15" i="3"/>
  <c r="H15" i="3" s="1"/>
  <c r="G16" i="3"/>
  <c r="H16" i="3" s="1"/>
  <c r="G17" i="3"/>
  <c r="H17" i="3" s="1"/>
  <c r="G18" i="3"/>
  <c r="G19" i="3"/>
  <c r="G20" i="3"/>
  <c r="G21" i="3"/>
  <c r="H21" i="3" s="1"/>
  <c r="G22" i="3"/>
  <c r="H22" i="3" s="1"/>
  <c r="G23" i="3"/>
  <c r="H23" i="3" s="1"/>
  <c r="G24" i="3"/>
  <c r="H24" i="3" s="1"/>
</calcChain>
</file>

<file path=xl/sharedStrings.xml><?xml version="1.0" encoding="utf-8"?>
<sst xmlns="http://schemas.openxmlformats.org/spreadsheetml/2006/main" count="252" uniqueCount="94">
  <si>
    <t>Subject Area</t>
  </si>
  <si>
    <t>Agriculture, Horticulture and Animal Care</t>
  </si>
  <si>
    <t>Area Studies/Cultural Studies/Languages/Literature</t>
  </si>
  <si>
    <t>Arts and Crafts</t>
  </si>
  <si>
    <t>Authorship/Photography/Publishing/Media</t>
  </si>
  <si>
    <t>Business/Management/Office Studies</t>
  </si>
  <si>
    <t>Catering/Food/Leisure Services/Tourism</t>
  </si>
  <si>
    <t>Construction and Property (Built Environment)</t>
  </si>
  <si>
    <t>Education/Training/Teaching</t>
  </si>
  <si>
    <t>Engineering</t>
  </si>
  <si>
    <t>Environment Protection/Energy/Cleansing/Security</t>
  </si>
  <si>
    <t>Family Care/Personal Development/Personal Care and Appearance</t>
  </si>
  <si>
    <t>Health Care/Medicine/Health and Safety</t>
  </si>
  <si>
    <t>Humanities (History/Archaeology/Religious Studies/Philosophy)</t>
  </si>
  <si>
    <t>Information Technology and Information</t>
  </si>
  <si>
    <t>Manufacturing/Production Work</t>
  </si>
  <si>
    <t>Oil/Mining/Plastics/Chemicals</t>
  </si>
  <si>
    <t>Performing Arts</t>
  </si>
  <si>
    <t>Politics/Economics/Law/Social Sciences</t>
  </si>
  <si>
    <t>Sales, Marketing and Retailing</t>
  </si>
  <si>
    <t>Sciences and Mathematics</t>
  </si>
  <si>
    <t>Services to Industry and Commerce</t>
  </si>
  <si>
    <t>Sports, Games and Recreation</t>
  </si>
  <si>
    <t>Transport Services</t>
  </si>
  <si>
    <t>student_number_2014-15</t>
  </si>
  <si>
    <t>student_number_2023-24</t>
  </si>
  <si>
    <t>percentage_totalstudent_2014-15</t>
  </si>
  <si>
    <t>percentage_totalstudent_2023-24</t>
  </si>
  <si>
    <t>percentage_point_change</t>
  </si>
  <si>
    <t>percentage_change_from_2014-1015_2023-25</t>
  </si>
  <si>
    <t>student_number_change_2014-2015_2023-2024</t>
  </si>
  <si>
    <t>Agriculture, Environment &amp; Land-Based Studies</t>
  </si>
  <si>
    <t>Arts, Media &amp; Creative Industries</t>
  </si>
  <si>
    <t>Humanities, Languages &amp; Cultural Studies</t>
  </si>
  <si>
    <t>Social Sciences, Law &amp; Public Studies</t>
  </si>
  <si>
    <t>Business, Management &amp; Commercial Studies</t>
  </si>
  <si>
    <t>Science, Mathematics &amp; Computing</t>
  </si>
  <si>
    <t>Engineering, Manufacturing &amp; Built Environment</t>
  </si>
  <si>
    <t>Health, Care &amp; Personal Services</t>
  </si>
  <si>
    <t>Education &amp; Training</t>
  </si>
  <si>
    <t>Hospitality, Leisure, Sport &amp; Tourism</t>
  </si>
  <si>
    <t>Transport &amp; Logistics</t>
  </si>
  <si>
    <t>broader_subject_groups_11</t>
  </si>
  <si>
    <t>broad_subject_groups_6</t>
  </si>
  <si>
    <t>Arts, Humanities &amp; Social Sciences</t>
  </si>
  <si>
    <t>Business, Services &amp; Tourism</t>
  </si>
  <si>
    <t>Science, Technology &amp; Engineering (STEM)</t>
  </si>
  <si>
    <t>Construction, Transport &amp; Infrastructure</t>
  </si>
  <si>
    <t>Health, Care &amp; Education</t>
  </si>
  <si>
    <t>Agriculture, Environment &amp; Natural Resources</t>
  </si>
  <si>
    <t>broad_subject_groups_4</t>
  </si>
  <si>
    <t>Creative &amp; Social Studies</t>
  </si>
  <si>
    <t>Business &amp; Services</t>
  </si>
  <si>
    <t>STEM &amp; Industry</t>
  </si>
  <si>
    <t>Health, Education &amp; Land-Based</t>
  </si>
  <si>
    <t>Full-time college based not included above</t>
  </si>
  <si>
    <t>Migrant worker</t>
  </si>
  <si>
    <t>Not Known</t>
  </si>
  <si>
    <t>Not registered unemployed but not working</t>
  </si>
  <si>
    <t>PI-P7, Sl-S6, but not on a school link programme</t>
  </si>
  <si>
    <t>Permanent or temporary employment</t>
  </si>
  <si>
    <t>Primary school pupil</t>
  </si>
  <si>
    <t>Registered unemployed - not receiving jobseekers allowance</t>
  </si>
  <si>
    <t>Registered unemployed - receiving jobseekers allowance</t>
  </si>
  <si>
    <t>Retired</t>
  </si>
  <si>
    <t>School based S1</t>
  </si>
  <si>
    <t>School based S2</t>
  </si>
  <si>
    <t>School based S3</t>
  </si>
  <si>
    <t>School based S4</t>
  </si>
  <si>
    <t>School based S5</t>
  </si>
  <si>
    <t>School based S6</t>
  </si>
  <si>
    <t>Student on European exchange (e.g. ERASMUS, COMETT)</t>
  </si>
  <si>
    <t>Winter leaver</t>
  </si>
  <si>
    <t>enrolment_number_2014-15</t>
  </si>
  <si>
    <t>enrolment_number_2022-23</t>
  </si>
  <si>
    <t>enrolment_number_2023-24</t>
  </si>
  <si>
    <t>enrolment_number_change_2014-2015_2023-2024</t>
  </si>
  <si>
    <t>Student - other than conventional SCE/GCE/GCSE studies</t>
  </si>
  <si>
    <t>Student - Youth Training / Employability Fund / Modern Apprenticeship</t>
  </si>
  <si>
    <t>Student - other government training scheme</t>
  </si>
  <si>
    <t>Student - Scottish wider access programme (SWAP)*</t>
  </si>
  <si>
    <t>Category of enrolment</t>
  </si>
  <si>
    <t>broad_enrolment_groups_6</t>
  </si>
  <si>
    <t>School Pupils (School-Based)</t>
  </si>
  <si>
    <t>Young People Transitioning from School</t>
  </si>
  <si>
    <t>Students in Training, Access or Exchange Programmes</t>
  </si>
  <si>
    <t>Employed Learners</t>
  </si>
  <si>
    <t>Unemployed or Economically Inactive Adults</t>
  </si>
  <si>
    <t>Unknown / Other</t>
  </si>
  <si>
    <t>broad_enrolment_groups_4</t>
  </si>
  <si>
    <t>School-Based Learners</t>
  </si>
  <si>
    <t>Students on Programmes or Schemes</t>
  </si>
  <si>
    <t>Adult Learners (Employed or Not Working)</t>
  </si>
  <si>
    <t>Other /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</si>
</sst>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Table_6_graph!$B$1</c:f>
              <c:strCache>
                <c:ptCount val="1"/>
                <c:pt idx="0">
                  <c:v>student_number_change_2014-2015_2023-2024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Table_6_graph!$A$2:$A$24</c:f>
              <c:strCache>
                <c:ptCount val="23"/>
                <c:pt idx="0">
                  <c:v>Agriculture, Horticulture and Animal Care</c:v>
                </c:pt>
                <c:pt idx="1">
                  <c:v>Area Studies/Cultural Studies/Languages/Literature</c:v>
                </c:pt>
                <c:pt idx="2">
                  <c:v>Arts and Crafts</c:v>
                </c:pt>
                <c:pt idx="3">
                  <c:v>Authorship/Photography/Publishing/Media</c:v>
                </c:pt>
                <c:pt idx="4">
                  <c:v>Business/Management/Office Studies</c:v>
                </c:pt>
                <c:pt idx="5">
                  <c:v>Catering/Food/Leisure Services/Tourism</c:v>
                </c:pt>
                <c:pt idx="6">
                  <c:v>Construction and Property (Built Environment)</c:v>
                </c:pt>
                <c:pt idx="7">
                  <c:v>Education/Training/Teaching</c:v>
                </c:pt>
                <c:pt idx="8">
                  <c:v>Engineering</c:v>
                </c:pt>
                <c:pt idx="9">
                  <c:v>Environment Protection/Energy/Cleansing/Security</c:v>
                </c:pt>
                <c:pt idx="10">
                  <c:v>Family Care/Personal Development/Personal Care and Appearance</c:v>
                </c:pt>
                <c:pt idx="11">
                  <c:v>Health Care/Medicine/Health and Safety</c:v>
                </c:pt>
                <c:pt idx="12">
                  <c:v>Humanities (History/Archaeology/Religious Studies/Philosophy)</c:v>
                </c:pt>
                <c:pt idx="13">
                  <c:v>Information Technology and Information</c:v>
                </c:pt>
                <c:pt idx="14">
                  <c:v>Manufacturing/Production Work</c:v>
                </c:pt>
                <c:pt idx="15">
                  <c:v>Oil/Mining/Plastics/Chemicals</c:v>
                </c:pt>
                <c:pt idx="16">
                  <c:v>Performing Arts</c:v>
                </c:pt>
                <c:pt idx="17">
                  <c:v>Politics/Economics/Law/Social Sciences</c:v>
                </c:pt>
                <c:pt idx="18">
                  <c:v>Sales, Marketing and Retailing</c:v>
                </c:pt>
                <c:pt idx="19">
                  <c:v>Sciences and Mathematics</c:v>
                </c:pt>
                <c:pt idx="20">
                  <c:v>Services to Industry and Commerce</c:v>
                </c:pt>
                <c:pt idx="21">
                  <c:v>Sports, Games and Recreation</c:v>
                </c:pt>
                <c:pt idx="22">
                  <c:v>Transport Services</c:v>
                </c:pt>
              </c:strCache>
            </c:strRef>
          </c:cat>
          <c:val>
            <c:numRef>
              <c:f>Table_6_graph!$B$2:$B$24</c:f>
              <c:numCache>
                <c:formatCode>0</c:formatCode>
                <c:ptCount val="23"/>
                <c:pt idx="0">
                  <c:v>7</c:v>
                </c:pt>
                <c:pt idx="1">
                  <c:v>2439</c:v>
                </c:pt>
                <c:pt idx="2">
                  <c:v>-1157</c:v>
                </c:pt>
                <c:pt idx="3">
                  <c:v>-1125</c:v>
                </c:pt>
                <c:pt idx="4">
                  <c:v>-3604</c:v>
                </c:pt>
                <c:pt idx="5">
                  <c:v>-2340</c:v>
                </c:pt>
                <c:pt idx="6">
                  <c:v>2288</c:v>
                </c:pt>
                <c:pt idx="7">
                  <c:v>-973</c:v>
                </c:pt>
                <c:pt idx="8">
                  <c:v>-1063</c:v>
                </c:pt>
                <c:pt idx="9">
                  <c:v>-229</c:v>
                </c:pt>
                <c:pt idx="10">
                  <c:v>-4599</c:v>
                </c:pt>
                <c:pt idx="11">
                  <c:v>-886</c:v>
                </c:pt>
                <c:pt idx="12">
                  <c:v>-273</c:v>
                </c:pt>
                <c:pt idx="13">
                  <c:v>-2905</c:v>
                </c:pt>
                <c:pt idx="14">
                  <c:v>-109</c:v>
                </c:pt>
                <c:pt idx="15">
                  <c:v>-98</c:v>
                </c:pt>
                <c:pt idx="16">
                  <c:v>-1333</c:v>
                </c:pt>
                <c:pt idx="17">
                  <c:v>1023</c:v>
                </c:pt>
                <c:pt idx="18">
                  <c:v>-321</c:v>
                </c:pt>
                <c:pt idx="19">
                  <c:v>225</c:v>
                </c:pt>
                <c:pt idx="20">
                  <c:v>138</c:v>
                </c:pt>
                <c:pt idx="21">
                  <c:v>-389</c:v>
                </c:pt>
                <c:pt idx="22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0-9C40-A3E7-6F0A10C08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8227327"/>
        <c:axId val="798229007"/>
      </c:barChart>
      <c:catAx>
        <c:axId val="798227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229007"/>
        <c:crosses val="autoZero"/>
        <c:auto val="1"/>
        <c:lblAlgn val="ctr"/>
        <c:lblOffset val="100"/>
        <c:noMultiLvlLbl val="0"/>
      </c:catAx>
      <c:valAx>
        <c:axId val="79822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22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Table_6_graph!$B$40</c:f>
              <c:strCache>
                <c:ptCount val="1"/>
                <c:pt idx="0">
                  <c:v>percentage_point_change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Table_6_graph!$A$41:$A$63</c:f>
              <c:strCache>
                <c:ptCount val="23"/>
                <c:pt idx="0">
                  <c:v>Agriculture, Horticulture and Animal Care</c:v>
                </c:pt>
                <c:pt idx="1">
                  <c:v>Area Studies/Cultural Studies/Languages/Literature</c:v>
                </c:pt>
                <c:pt idx="2">
                  <c:v>Arts and Crafts</c:v>
                </c:pt>
                <c:pt idx="3">
                  <c:v>Authorship/Photography/Publishing/Media</c:v>
                </c:pt>
                <c:pt idx="4">
                  <c:v>Business/Management/Office Studies</c:v>
                </c:pt>
                <c:pt idx="5">
                  <c:v>Catering/Food/Leisure Services/Tourism</c:v>
                </c:pt>
                <c:pt idx="6">
                  <c:v>Construction and Property (Built Environment)</c:v>
                </c:pt>
                <c:pt idx="7">
                  <c:v>Education/Training/Teaching</c:v>
                </c:pt>
                <c:pt idx="8">
                  <c:v>Engineering</c:v>
                </c:pt>
                <c:pt idx="9">
                  <c:v>Environment Protection/Energy/Cleansing/Security</c:v>
                </c:pt>
                <c:pt idx="10">
                  <c:v>Family Care/Personal Development/Personal Care and Appearance</c:v>
                </c:pt>
                <c:pt idx="11">
                  <c:v>Health Care/Medicine/Health and Safety</c:v>
                </c:pt>
                <c:pt idx="12">
                  <c:v>Humanities (History/Archaeology/Religious Studies/Philosophy)</c:v>
                </c:pt>
                <c:pt idx="13">
                  <c:v>Information Technology and Information</c:v>
                </c:pt>
                <c:pt idx="14">
                  <c:v>Manufacturing/Production Work</c:v>
                </c:pt>
                <c:pt idx="15">
                  <c:v>Oil/Mining/Plastics/Chemicals</c:v>
                </c:pt>
                <c:pt idx="16">
                  <c:v>Performing Arts</c:v>
                </c:pt>
                <c:pt idx="17">
                  <c:v>Politics/Economics/Law/Social Sciences</c:v>
                </c:pt>
                <c:pt idx="18">
                  <c:v>Sales, Marketing and Retailing</c:v>
                </c:pt>
                <c:pt idx="19">
                  <c:v>Sciences and Mathematics</c:v>
                </c:pt>
                <c:pt idx="20">
                  <c:v>Services to Industry and Commerce</c:v>
                </c:pt>
                <c:pt idx="21">
                  <c:v>Sports, Games and Recreation</c:v>
                </c:pt>
                <c:pt idx="22">
                  <c:v>Transport Services</c:v>
                </c:pt>
              </c:strCache>
            </c:strRef>
          </c:cat>
          <c:val>
            <c:numRef>
              <c:f>Table_6_graph!$B$41:$B$63</c:f>
              <c:numCache>
                <c:formatCode>General</c:formatCode>
                <c:ptCount val="23"/>
                <c:pt idx="0">
                  <c:v>3.0000000000000001E-3</c:v>
                </c:pt>
                <c:pt idx="1">
                  <c:v>2.5999999999999999E-2</c:v>
                </c:pt>
                <c:pt idx="2">
                  <c:v>-5.0000000000000001E-3</c:v>
                </c:pt>
                <c:pt idx="3">
                  <c:v>-5.0000000000000001E-3</c:v>
                </c:pt>
                <c:pt idx="4">
                  <c:v>-2.1000000000000001E-2</c:v>
                </c:pt>
                <c:pt idx="5">
                  <c:v>-1.2999999999999999E-2</c:v>
                </c:pt>
                <c:pt idx="6">
                  <c:v>2.9000000000000001E-2</c:v>
                </c:pt>
                <c:pt idx="7">
                  <c:v>-6.0000000000000001E-3</c:v>
                </c:pt>
                <c:pt idx="8">
                  <c:v>6.0000000000000001E-3</c:v>
                </c:pt>
                <c:pt idx="9">
                  <c:v>-2E-3</c:v>
                </c:pt>
                <c:pt idx="10">
                  <c:v>-2.1999999999999999E-2</c:v>
                </c:pt>
                <c:pt idx="11">
                  <c:v>1.0999999999999999E-2</c:v>
                </c:pt>
                <c:pt idx="12">
                  <c:v>-1E-3</c:v>
                </c:pt>
                <c:pt idx="13">
                  <c:v>-1.6E-2</c:v>
                </c:pt>
                <c:pt idx="14">
                  <c:v>0</c:v>
                </c:pt>
                <c:pt idx="15">
                  <c:v>-1E-3</c:v>
                </c:pt>
                <c:pt idx="16">
                  <c:v>-7.0000000000000001E-3</c:v>
                </c:pt>
                <c:pt idx="17">
                  <c:v>1.2999999999999999E-2</c:v>
                </c:pt>
                <c:pt idx="18">
                  <c:v>-2E-3</c:v>
                </c:pt>
                <c:pt idx="19">
                  <c:v>5.0000000000000001E-3</c:v>
                </c:pt>
                <c:pt idx="20">
                  <c:v>2E-3</c:v>
                </c:pt>
                <c:pt idx="21">
                  <c:v>2E-3</c:v>
                </c:pt>
                <c:pt idx="22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4-DE47-A977-932F080D8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0267263"/>
        <c:axId val="290641872"/>
      </c:barChart>
      <c:catAx>
        <c:axId val="1620267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41872"/>
        <c:crosses val="autoZero"/>
        <c:auto val="1"/>
        <c:lblAlgn val="ctr"/>
        <c:lblOffset val="100"/>
        <c:noMultiLvlLbl val="0"/>
      </c:catAx>
      <c:valAx>
        <c:axId val="29064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26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Table_6_graph!$B$70</c:f>
              <c:strCache>
                <c:ptCount val="1"/>
                <c:pt idx="0">
                  <c:v>percentage_change_from_2014-1015_2023-25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Table_6_graph!$A$71:$A$93</c:f>
              <c:strCache>
                <c:ptCount val="23"/>
                <c:pt idx="0">
                  <c:v>Agriculture, Horticulture and Animal Care</c:v>
                </c:pt>
                <c:pt idx="1">
                  <c:v>Area Studies/Cultural Studies/Languages/Literature</c:v>
                </c:pt>
                <c:pt idx="2">
                  <c:v>Arts and Crafts</c:v>
                </c:pt>
                <c:pt idx="3">
                  <c:v>Authorship/Photography/Publishing/Media</c:v>
                </c:pt>
                <c:pt idx="4">
                  <c:v>Business/Management/Office Studies</c:v>
                </c:pt>
                <c:pt idx="5">
                  <c:v>Catering/Food/Leisure Services/Tourism</c:v>
                </c:pt>
                <c:pt idx="6">
                  <c:v>Construction and Property (Built Environment)</c:v>
                </c:pt>
                <c:pt idx="7">
                  <c:v>Education/Training/Teaching</c:v>
                </c:pt>
                <c:pt idx="8">
                  <c:v>Engineering</c:v>
                </c:pt>
                <c:pt idx="9">
                  <c:v>Environment Protection/Energy/Cleansing/Security</c:v>
                </c:pt>
                <c:pt idx="10">
                  <c:v>Family Care/Personal Development/Personal Care and Appearance</c:v>
                </c:pt>
                <c:pt idx="11">
                  <c:v>Health Care/Medicine/Health and Safety</c:v>
                </c:pt>
                <c:pt idx="12">
                  <c:v>Humanities (History/Archaeology/Religious Studies/Philosophy)</c:v>
                </c:pt>
                <c:pt idx="13">
                  <c:v>Information Technology and Information</c:v>
                </c:pt>
                <c:pt idx="14">
                  <c:v>Manufacturing/Production Work</c:v>
                </c:pt>
                <c:pt idx="15">
                  <c:v>Oil/Mining/Plastics/Chemicals</c:v>
                </c:pt>
                <c:pt idx="16">
                  <c:v>Performing Arts</c:v>
                </c:pt>
                <c:pt idx="17">
                  <c:v>Politics/Economics/Law/Social Sciences</c:v>
                </c:pt>
                <c:pt idx="18">
                  <c:v>Sales, Marketing and Retailing</c:v>
                </c:pt>
                <c:pt idx="19">
                  <c:v>Sciences and Mathematics</c:v>
                </c:pt>
                <c:pt idx="20">
                  <c:v>Services to Industry and Commerce</c:v>
                </c:pt>
                <c:pt idx="21">
                  <c:v>Sports, Games and Recreation</c:v>
                </c:pt>
                <c:pt idx="22">
                  <c:v>Transport Services</c:v>
                </c:pt>
              </c:strCache>
            </c:strRef>
          </c:cat>
          <c:val>
            <c:numRef>
              <c:f>Table_6_graph!$B$71:$B$93</c:f>
              <c:numCache>
                <c:formatCode>0.000</c:formatCode>
                <c:ptCount val="23"/>
                <c:pt idx="0">
                  <c:v>2.3537323470073975E-3</c:v>
                </c:pt>
                <c:pt idx="1">
                  <c:v>0.49563096931517986</c:v>
                </c:pt>
                <c:pt idx="2">
                  <c:v>-0.21410066617320503</c:v>
                </c:pt>
                <c:pt idx="3">
                  <c:v>-0.24552597119161937</c:v>
                </c:pt>
                <c:pt idx="4">
                  <c:v>-0.35531893916987084</c:v>
                </c:pt>
                <c:pt idx="5">
                  <c:v>-0.30354131534569984</c:v>
                </c:pt>
                <c:pt idx="6">
                  <c:v>0.23278054735985348</c:v>
                </c:pt>
                <c:pt idx="7">
                  <c:v>-0.42084775086505188</c:v>
                </c:pt>
                <c:pt idx="8">
                  <c:v>-7.0420669095727056E-2</c:v>
                </c:pt>
                <c:pt idx="9">
                  <c:v>-0.65056818181818177</c:v>
                </c:pt>
                <c:pt idx="10">
                  <c:v>-0.250968622100955</c:v>
                </c:pt>
                <c:pt idx="11">
                  <c:v>-4.7067573310667236E-2</c:v>
                </c:pt>
                <c:pt idx="12">
                  <c:v>-0.27464788732394368</c:v>
                </c:pt>
                <c:pt idx="13">
                  <c:v>-0.31613886168244643</c:v>
                </c:pt>
                <c:pt idx="14">
                  <c:v>-0.16148148148148148</c:v>
                </c:pt>
                <c:pt idx="15">
                  <c:v>-0.42241379310344829</c:v>
                </c:pt>
                <c:pt idx="16">
                  <c:v>-0.29821029082774048</c:v>
                </c:pt>
                <c:pt idx="17">
                  <c:v>0.2417296786389414</c:v>
                </c:pt>
                <c:pt idx="18">
                  <c:v>-0.29234972677595628</c:v>
                </c:pt>
                <c:pt idx="19">
                  <c:v>6.2034739454094295E-2</c:v>
                </c:pt>
                <c:pt idx="20">
                  <c:v>0.33173076923076922</c:v>
                </c:pt>
                <c:pt idx="21">
                  <c:v>-7.8096767717325835E-2</c:v>
                </c:pt>
                <c:pt idx="22">
                  <c:v>0.21880064829821719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6-5246-99AB-3858B560E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5435680"/>
        <c:axId val="1637789743"/>
      </c:barChart>
      <c:catAx>
        <c:axId val="1355435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89743"/>
        <c:crosses val="autoZero"/>
        <c:auto val="1"/>
        <c:lblAlgn val="ctr"/>
        <c:lblOffset val="100"/>
        <c:noMultiLvlLbl val="0"/>
      </c:catAx>
      <c:valAx>
        <c:axId val="163778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4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412750</xdr:colOff>
      <xdr:row>2</xdr:row>
      <xdr:rowOff>12700</xdr:rowOff>
    </xdr:from>
    <xdr:to>
      <xdr:col>13</xdr:col>
      <xdr:colOff>647700</xdr:colOff>
      <xdr:row>32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5AF8B-825F-9441-A552-42037565C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133350</xdr:colOff>
      <xdr:row>64</xdr:row>
      <xdr:rowOff>0</xdr:rowOff>
    </xdr:from>
    <xdr:to>
      <xdr:col>19</xdr:col>
      <xdr:colOff>381000</xdr:colOff>
      <xdr:row>92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78BA62-4EF2-8045-8770-7DDC9F016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628650</xdr:colOff>
      <xdr:row>64</xdr:row>
      <xdr:rowOff>0</xdr:rowOff>
    </xdr:from>
    <xdr:to>
      <xdr:col>10</xdr:col>
      <xdr:colOff>749300</xdr:colOff>
      <xdr:row>94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888881-4BED-AC42-AB2C-2E0CB8057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7760-2606-FB41-94E6-911C25AEE013}">
  <dimension ref="A1:K27"/>
  <sheetViews>
    <sheetView tabSelected="1" topLeftCell="E1" zoomScale="137" workbookViewId="0">
      <selection activeCell="C4" sqref="A4:XFD4"/>
    </sheetView>
  </sheetViews>
  <sheetFormatPr baseColWidth="10" defaultRowHeight="16" x14ac:dyDescent="0.2"/>
  <cols>
    <col min="1" max="1" width="57" bestFit="1" customWidth="1"/>
    <col min="2" max="2" width="42.1640625" bestFit="1" customWidth="1"/>
    <col min="3" max="3" width="40" bestFit="1" customWidth="1"/>
    <col min="4" max="4" width="27.83203125" bestFit="1" customWidth="1"/>
    <col min="5" max="6" width="22.6640625" bestFit="1" customWidth="1"/>
    <col min="7" max="7" width="41.6640625" bestFit="1" customWidth="1"/>
    <col min="8" max="8" width="40.33203125" bestFit="1" customWidth="1"/>
    <col min="9" max="10" width="29.5" bestFit="1" customWidth="1"/>
    <col min="11" max="11" width="22.6640625" bestFit="1" customWidth="1"/>
  </cols>
  <sheetData>
    <row r="1" spans="1:11" x14ac:dyDescent="0.2">
      <c r="A1" t="s">
        <v>0</v>
      </c>
      <c r="B1" t="s">
        <v>42</v>
      </c>
      <c r="C1" t="s">
        <v>43</v>
      </c>
      <c r="D1" t="s">
        <v>50</v>
      </c>
      <c r="E1" t="s">
        <v>24</v>
      </c>
      <c r="F1" t="s">
        <v>25</v>
      </c>
      <c r="G1" t="s">
        <v>30</v>
      </c>
      <c r="H1" t="s">
        <v>29</v>
      </c>
      <c r="I1" t="s">
        <v>26</v>
      </c>
      <c r="J1" t="s">
        <v>27</v>
      </c>
      <c r="K1" t="s">
        <v>28</v>
      </c>
    </row>
    <row r="2" spans="1:11" x14ac:dyDescent="0.2">
      <c r="A2" t="s">
        <v>1</v>
      </c>
      <c r="B2" t="s">
        <v>31</v>
      </c>
      <c r="C2" t="s">
        <v>49</v>
      </c>
      <c r="D2" t="s">
        <v>54</v>
      </c>
      <c r="E2" s="1">
        <v>2974</v>
      </c>
      <c r="F2" s="1">
        <v>2981</v>
      </c>
      <c r="G2" s="1">
        <f>F2-E2</f>
        <v>7</v>
      </c>
      <c r="H2" s="2">
        <f>G2/E2</f>
        <v>2.3537323470073975E-3</v>
      </c>
      <c r="I2">
        <v>2.3E-2</v>
      </c>
      <c r="J2">
        <v>2.5999999999999999E-2</v>
      </c>
      <c r="K2">
        <v>3.0000000000000001E-3</v>
      </c>
    </row>
    <row r="3" spans="1:11" x14ac:dyDescent="0.2">
      <c r="A3" t="s">
        <v>2</v>
      </c>
      <c r="B3" t="s">
        <v>33</v>
      </c>
      <c r="C3" t="s">
        <v>44</v>
      </c>
      <c r="D3" t="s">
        <v>51</v>
      </c>
      <c r="E3" s="1">
        <v>4921</v>
      </c>
      <c r="F3" s="1">
        <v>7360</v>
      </c>
      <c r="G3" s="1">
        <f t="shared" ref="G3:G24" si="0">F3-E3</f>
        <v>2439</v>
      </c>
      <c r="H3" s="2">
        <f>G3/E3</f>
        <v>0.49563096931517986</v>
      </c>
      <c r="I3">
        <v>3.6999999999999998E-2</v>
      </c>
      <c r="J3">
        <v>6.3E-2</v>
      </c>
      <c r="K3">
        <v>2.5999999999999999E-2</v>
      </c>
    </row>
    <row r="4" spans="1:11" x14ac:dyDescent="0.2">
      <c r="A4" t="s">
        <v>3</v>
      </c>
      <c r="B4" t="s">
        <v>32</v>
      </c>
      <c r="C4" t="s">
        <v>44</v>
      </c>
      <c r="D4" t="s">
        <v>51</v>
      </c>
      <c r="E4" s="1">
        <v>5404</v>
      </c>
      <c r="F4" s="1">
        <v>4247</v>
      </c>
      <c r="G4" s="1">
        <f t="shared" si="0"/>
        <v>-1157</v>
      </c>
      <c r="H4" s="2">
        <f t="shared" ref="H2:H24" si="1">G4/E4</f>
        <v>-0.21410066617320503</v>
      </c>
      <c r="I4">
        <v>4.1000000000000002E-2</v>
      </c>
      <c r="J4">
        <v>3.5999999999999997E-2</v>
      </c>
      <c r="K4">
        <v>-5.0000000000000001E-3</v>
      </c>
    </row>
    <row r="5" spans="1:11" x14ac:dyDescent="0.2">
      <c r="A5" t="s">
        <v>4</v>
      </c>
      <c r="B5" t="s">
        <v>32</v>
      </c>
      <c r="C5" t="s">
        <v>44</v>
      </c>
      <c r="D5" t="s">
        <v>51</v>
      </c>
      <c r="E5" s="1">
        <v>4582</v>
      </c>
      <c r="F5" s="1">
        <v>3457</v>
      </c>
      <c r="G5" s="1">
        <f t="shared" si="0"/>
        <v>-1125</v>
      </c>
      <c r="H5" s="2">
        <f t="shared" si="1"/>
        <v>-0.24552597119161937</v>
      </c>
      <c r="I5">
        <v>3.5000000000000003E-2</v>
      </c>
      <c r="J5">
        <v>0.03</v>
      </c>
      <c r="K5">
        <v>-5.0000000000000001E-3</v>
      </c>
    </row>
    <row r="6" spans="1:11" x14ac:dyDescent="0.2">
      <c r="A6" t="s">
        <v>5</v>
      </c>
      <c r="B6" t="s">
        <v>35</v>
      </c>
      <c r="C6" t="s">
        <v>45</v>
      </c>
      <c r="D6" t="s">
        <v>52</v>
      </c>
      <c r="E6" s="1">
        <v>10143</v>
      </c>
      <c r="F6" s="1">
        <v>6539</v>
      </c>
      <c r="G6" s="1">
        <f t="shared" si="0"/>
        <v>-3604</v>
      </c>
      <c r="H6" s="2">
        <f t="shared" si="1"/>
        <v>-0.35531893916987084</v>
      </c>
      <c r="I6">
        <v>7.6999999999999999E-2</v>
      </c>
      <c r="J6">
        <v>5.6000000000000001E-2</v>
      </c>
      <c r="K6">
        <v>-2.1000000000000001E-2</v>
      </c>
    </row>
    <row r="7" spans="1:11" x14ac:dyDescent="0.2">
      <c r="A7" t="s">
        <v>6</v>
      </c>
      <c r="B7" t="s">
        <v>40</v>
      </c>
      <c r="C7" t="s">
        <v>45</v>
      </c>
      <c r="D7" t="s">
        <v>52</v>
      </c>
      <c r="E7" s="1">
        <v>7709</v>
      </c>
      <c r="F7" s="1">
        <v>5369</v>
      </c>
      <c r="G7" s="1">
        <f t="shared" si="0"/>
        <v>-2340</v>
      </c>
      <c r="H7" s="2">
        <f t="shared" si="1"/>
        <v>-0.30354131534569984</v>
      </c>
      <c r="I7">
        <v>5.8999999999999997E-2</v>
      </c>
      <c r="J7">
        <v>4.5999999999999999E-2</v>
      </c>
      <c r="K7">
        <v>-1.2999999999999999E-2</v>
      </c>
    </row>
    <row r="8" spans="1:11" x14ac:dyDescent="0.2">
      <c r="A8" t="s">
        <v>7</v>
      </c>
      <c r="B8" t="s">
        <v>37</v>
      </c>
      <c r="C8" t="s">
        <v>47</v>
      </c>
      <c r="D8" t="s">
        <v>53</v>
      </c>
      <c r="E8" s="1">
        <v>9829</v>
      </c>
      <c r="F8" s="1">
        <v>12117</v>
      </c>
      <c r="G8" s="1">
        <f t="shared" si="0"/>
        <v>2288</v>
      </c>
      <c r="H8" s="2">
        <f t="shared" si="1"/>
        <v>0.23278054735985348</v>
      </c>
      <c r="I8">
        <v>7.4999999999999997E-2</v>
      </c>
      <c r="J8">
        <v>0.104</v>
      </c>
      <c r="K8">
        <v>2.9000000000000001E-2</v>
      </c>
    </row>
    <row r="9" spans="1:11" x14ac:dyDescent="0.2">
      <c r="A9" t="s">
        <v>8</v>
      </c>
      <c r="B9" t="s">
        <v>39</v>
      </c>
      <c r="C9" t="s">
        <v>48</v>
      </c>
      <c r="D9" t="s">
        <v>54</v>
      </c>
      <c r="E9" s="1">
        <v>2312</v>
      </c>
      <c r="F9" s="1">
        <v>1339</v>
      </c>
      <c r="G9" s="1">
        <f t="shared" si="0"/>
        <v>-973</v>
      </c>
      <c r="H9" s="2">
        <f t="shared" si="1"/>
        <v>-0.42084775086505188</v>
      </c>
      <c r="I9">
        <v>1.7999999999999999E-2</v>
      </c>
      <c r="J9">
        <v>1.0999999999999999E-2</v>
      </c>
      <c r="K9">
        <v>-6.0000000000000001E-3</v>
      </c>
    </row>
    <row r="10" spans="1:11" x14ac:dyDescent="0.2">
      <c r="A10" t="s">
        <v>9</v>
      </c>
      <c r="B10" t="s">
        <v>37</v>
      </c>
      <c r="C10" t="s">
        <v>46</v>
      </c>
      <c r="D10" t="s">
        <v>53</v>
      </c>
      <c r="E10" s="1">
        <v>15095</v>
      </c>
      <c r="F10" s="1">
        <v>14032</v>
      </c>
      <c r="G10" s="1">
        <f t="shared" si="0"/>
        <v>-1063</v>
      </c>
      <c r="H10" s="2">
        <f t="shared" si="1"/>
        <v>-7.0420669095727056E-2</v>
      </c>
      <c r="I10">
        <v>0.115</v>
      </c>
      <c r="J10">
        <v>0.12</v>
      </c>
      <c r="K10">
        <v>6.0000000000000001E-3</v>
      </c>
    </row>
    <row r="11" spans="1:11" x14ac:dyDescent="0.2">
      <c r="A11" t="s">
        <v>10</v>
      </c>
      <c r="B11" t="s">
        <v>31</v>
      </c>
      <c r="C11" t="s">
        <v>49</v>
      </c>
      <c r="D11" t="s">
        <v>53</v>
      </c>
      <c r="E11" s="1">
        <v>352</v>
      </c>
      <c r="F11" s="1">
        <v>123</v>
      </c>
      <c r="G11" s="1">
        <f t="shared" si="0"/>
        <v>-229</v>
      </c>
      <c r="H11" s="2">
        <f t="shared" si="1"/>
        <v>-0.65056818181818177</v>
      </c>
      <c r="I11">
        <v>3.0000000000000001E-3</v>
      </c>
      <c r="J11">
        <v>1E-3</v>
      </c>
      <c r="K11">
        <v>-2E-3</v>
      </c>
    </row>
    <row r="12" spans="1:11" x14ac:dyDescent="0.2">
      <c r="A12" t="s">
        <v>11</v>
      </c>
      <c r="B12" t="s">
        <v>38</v>
      </c>
      <c r="C12" t="s">
        <v>48</v>
      </c>
      <c r="D12" t="s">
        <v>54</v>
      </c>
      <c r="E12" s="1">
        <v>18325</v>
      </c>
      <c r="F12" s="1">
        <v>13726</v>
      </c>
      <c r="G12" s="1">
        <f t="shared" si="0"/>
        <v>-4599</v>
      </c>
      <c r="H12" s="2">
        <f>G12/E12</f>
        <v>-0.250968622100955</v>
      </c>
      <c r="I12">
        <v>0.13900000000000001</v>
      </c>
      <c r="J12">
        <v>0.11799999999999999</v>
      </c>
      <c r="K12">
        <v>-2.1999999999999999E-2</v>
      </c>
    </row>
    <row r="13" spans="1:11" x14ac:dyDescent="0.2">
      <c r="A13" t="s">
        <v>12</v>
      </c>
      <c r="B13" t="s">
        <v>38</v>
      </c>
      <c r="C13" t="s">
        <v>48</v>
      </c>
      <c r="D13" t="s">
        <v>54</v>
      </c>
      <c r="E13" s="1">
        <v>18824</v>
      </c>
      <c r="F13" s="1">
        <v>17938</v>
      </c>
      <c r="G13" s="1">
        <f t="shared" si="0"/>
        <v>-886</v>
      </c>
      <c r="H13" s="2">
        <f t="shared" si="1"/>
        <v>-4.7067573310667236E-2</v>
      </c>
      <c r="I13">
        <v>0.14299999999999999</v>
      </c>
      <c r="J13">
        <v>0.154</v>
      </c>
      <c r="K13">
        <v>1.0999999999999999E-2</v>
      </c>
    </row>
    <row r="14" spans="1:11" x14ac:dyDescent="0.2">
      <c r="A14" t="s">
        <v>13</v>
      </c>
      <c r="B14" t="s">
        <v>33</v>
      </c>
      <c r="C14" t="s">
        <v>44</v>
      </c>
      <c r="D14" t="s">
        <v>51</v>
      </c>
      <c r="E14" s="1">
        <v>994</v>
      </c>
      <c r="F14" s="1">
        <v>721</v>
      </c>
      <c r="G14" s="1">
        <f t="shared" si="0"/>
        <v>-273</v>
      </c>
      <c r="H14" s="2">
        <f t="shared" si="1"/>
        <v>-0.27464788732394368</v>
      </c>
      <c r="I14">
        <v>8.0000000000000002E-3</v>
      </c>
      <c r="J14">
        <v>6.0000000000000001E-3</v>
      </c>
      <c r="K14">
        <v>-1E-3</v>
      </c>
    </row>
    <row r="15" spans="1:11" x14ac:dyDescent="0.2">
      <c r="A15" t="s">
        <v>14</v>
      </c>
      <c r="B15" t="s">
        <v>36</v>
      </c>
      <c r="C15" t="s">
        <v>46</v>
      </c>
      <c r="D15" t="s">
        <v>53</v>
      </c>
      <c r="E15" s="1">
        <v>9189</v>
      </c>
      <c r="F15" s="1">
        <v>6284</v>
      </c>
      <c r="G15" s="1">
        <f t="shared" si="0"/>
        <v>-2905</v>
      </c>
      <c r="H15" s="2">
        <f t="shared" si="1"/>
        <v>-0.31613886168244643</v>
      </c>
      <c r="I15">
        <v>7.0000000000000007E-2</v>
      </c>
      <c r="J15">
        <v>5.3999999999999999E-2</v>
      </c>
      <c r="K15">
        <v>-1.6E-2</v>
      </c>
    </row>
    <row r="16" spans="1:11" x14ac:dyDescent="0.2">
      <c r="A16" t="s">
        <v>15</v>
      </c>
      <c r="B16" t="s">
        <v>37</v>
      </c>
      <c r="C16" t="s">
        <v>46</v>
      </c>
      <c r="D16" t="s">
        <v>53</v>
      </c>
      <c r="E16" s="1">
        <v>675</v>
      </c>
      <c r="F16" s="1">
        <v>566</v>
      </c>
      <c r="G16" s="1">
        <f t="shared" si="0"/>
        <v>-109</v>
      </c>
      <c r="H16" s="2">
        <f t="shared" si="1"/>
        <v>-0.16148148148148148</v>
      </c>
      <c r="I16">
        <v>5.0000000000000001E-3</v>
      </c>
      <c r="J16">
        <v>5.0000000000000001E-3</v>
      </c>
      <c r="K16">
        <v>0</v>
      </c>
    </row>
    <row r="17" spans="1:11" x14ac:dyDescent="0.2">
      <c r="A17" t="s">
        <v>16</v>
      </c>
      <c r="B17" t="s">
        <v>31</v>
      </c>
      <c r="C17" t="s">
        <v>46</v>
      </c>
      <c r="D17" t="s">
        <v>53</v>
      </c>
      <c r="E17" s="1">
        <v>232</v>
      </c>
      <c r="F17" s="1">
        <v>134</v>
      </c>
      <c r="G17" s="1">
        <f t="shared" si="0"/>
        <v>-98</v>
      </c>
      <c r="H17" s="2">
        <f t="shared" si="1"/>
        <v>-0.42241379310344829</v>
      </c>
      <c r="I17">
        <v>2E-3</v>
      </c>
      <c r="J17">
        <v>1E-3</v>
      </c>
      <c r="K17">
        <v>-1E-3</v>
      </c>
    </row>
    <row r="18" spans="1:11" x14ac:dyDescent="0.2">
      <c r="A18" t="s">
        <v>17</v>
      </c>
      <c r="B18" t="s">
        <v>32</v>
      </c>
      <c r="C18" t="s">
        <v>44</v>
      </c>
      <c r="D18" t="s">
        <v>51</v>
      </c>
      <c r="E18" s="1">
        <v>4470</v>
      </c>
      <c r="F18" s="1">
        <v>3137</v>
      </c>
      <c r="G18" s="1">
        <f t="shared" si="0"/>
        <v>-1333</v>
      </c>
      <c r="H18" s="2">
        <f t="shared" si="1"/>
        <v>-0.29821029082774048</v>
      </c>
      <c r="I18">
        <v>3.4000000000000002E-2</v>
      </c>
      <c r="J18">
        <v>2.7E-2</v>
      </c>
      <c r="K18">
        <v>-7.0000000000000001E-3</v>
      </c>
    </row>
    <row r="19" spans="1:11" x14ac:dyDescent="0.2">
      <c r="A19" t="s">
        <v>18</v>
      </c>
      <c r="B19" t="s">
        <v>34</v>
      </c>
      <c r="C19" t="s">
        <v>44</v>
      </c>
      <c r="D19" t="s">
        <v>51</v>
      </c>
      <c r="E19" s="1">
        <v>4232</v>
      </c>
      <c r="F19" s="1">
        <v>5255</v>
      </c>
      <c r="G19" s="1">
        <f t="shared" si="0"/>
        <v>1023</v>
      </c>
      <c r="H19" s="2">
        <f t="shared" si="1"/>
        <v>0.2417296786389414</v>
      </c>
      <c r="I19">
        <v>3.2000000000000001E-2</v>
      </c>
      <c r="J19">
        <v>4.4999999999999998E-2</v>
      </c>
      <c r="K19">
        <v>1.2999999999999999E-2</v>
      </c>
    </row>
    <row r="20" spans="1:11" x14ac:dyDescent="0.2">
      <c r="A20" t="s">
        <v>19</v>
      </c>
      <c r="B20" t="s">
        <v>35</v>
      </c>
      <c r="C20" t="s">
        <v>45</v>
      </c>
      <c r="D20" t="s">
        <v>52</v>
      </c>
      <c r="E20" s="1">
        <v>1098</v>
      </c>
      <c r="F20" s="1">
        <v>777</v>
      </c>
      <c r="G20" s="1">
        <f t="shared" si="0"/>
        <v>-321</v>
      </c>
      <c r="H20" s="2">
        <f t="shared" si="1"/>
        <v>-0.29234972677595628</v>
      </c>
      <c r="I20">
        <v>8.0000000000000002E-3</v>
      </c>
      <c r="J20">
        <v>7.0000000000000001E-3</v>
      </c>
      <c r="K20">
        <v>-2E-3</v>
      </c>
    </row>
    <row r="21" spans="1:11" x14ac:dyDescent="0.2">
      <c r="A21" t="s">
        <v>20</v>
      </c>
      <c r="B21" t="s">
        <v>36</v>
      </c>
      <c r="C21" t="s">
        <v>46</v>
      </c>
      <c r="D21" t="s">
        <v>53</v>
      </c>
      <c r="E21" s="1">
        <v>3627</v>
      </c>
      <c r="F21" s="1">
        <v>3852</v>
      </c>
      <c r="G21" s="1">
        <f t="shared" si="0"/>
        <v>225</v>
      </c>
      <c r="H21" s="2">
        <f t="shared" si="1"/>
        <v>6.2034739454094295E-2</v>
      </c>
      <c r="I21">
        <v>2.8000000000000001E-2</v>
      </c>
      <c r="J21">
        <v>3.3000000000000002E-2</v>
      </c>
      <c r="K21">
        <v>5.0000000000000001E-3</v>
      </c>
    </row>
    <row r="22" spans="1:11" x14ac:dyDescent="0.2">
      <c r="A22" t="s">
        <v>21</v>
      </c>
      <c r="B22" t="s">
        <v>35</v>
      </c>
      <c r="C22" t="s">
        <v>45</v>
      </c>
      <c r="D22" t="s">
        <v>52</v>
      </c>
      <c r="E22" s="1">
        <v>416</v>
      </c>
      <c r="F22" s="1">
        <v>554</v>
      </c>
      <c r="G22" s="1">
        <f t="shared" si="0"/>
        <v>138</v>
      </c>
      <c r="H22" s="2">
        <f t="shared" si="1"/>
        <v>0.33173076923076922</v>
      </c>
      <c r="I22">
        <v>3.0000000000000001E-3</v>
      </c>
      <c r="J22">
        <v>5.0000000000000001E-3</v>
      </c>
      <c r="K22">
        <v>2E-3</v>
      </c>
    </row>
    <row r="23" spans="1:11" x14ac:dyDescent="0.2">
      <c r="A23" t="s">
        <v>22</v>
      </c>
      <c r="B23" t="s">
        <v>40</v>
      </c>
      <c r="C23" t="s">
        <v>48</v>
      </c>
      <c r="D23" t="s">
        <v>54</v>
      </c>
      <c r="E23" s="1">
        <v>4981</v>
      </c>
      <c r="F23" s="1">
        <v>4592</v>
      </c>
      <c r="G23" s="1">
        <f t="shared" si="0"/>
        <v>-389</v>
      </c>
      <c r="H23" s="2">
        <f t="shared" si="1"/>
        <v>-7.8096767717325835E-2</v>
      </c>
      <c r="I23">
        <v>3.7999999999999999E-2</v>
      </c>
      <c r="J23">
        <v>3.9E-2</v>
      </c>
      <c r="K23">
        <v>2E-3</v>
      </c>
    </row>
    <row r="24" spans="1:11" x14ac:dyDescent="0.2">
      <c r="A24" t="s">
        <v>23</v>
      </c>
      <c r="B24" t="s">
        <v>41</v>
      </c>
      <c r="C24" t="s">
        <v>47</v>
      </c>
      <c r="D24" t="s">
        <v>53</v>
      </c>
      <c r="E24" s="1">
        <v>1234</v>
      </c>
      <c r="F24" s="1">
        <v>1504</v>
      </c>
      <c r="G24" s="1">
        <f t="shared" si="0"/>
        <v>270</v>
      </c>
      <c r="H24" s="2">
        <f t="shared" si="1"/>
        <v>0.21880064829821719</v>
      </c>
      <c r="I24">
        <v>8.9999999999999993E-3</v>
      </c>
      <c r="J24">
        <v>1.2999999999999999E-2</v>
      </c>
      <c r="K24">
        <v>4.0000000000000001E-3</v>
      </c>
    </row>
    <row r="25" spans="1:11" x14ac:dyDescent="0.2">
      <c r="E25" s="1">
        <f>SUM(E2:E24)</f>
        <v>131618</v>
      </c>
      <c r="F25" s="1">
        <f>SUM(F2:F24)</f>
        <v>116604</v>
      </c>
      <c r="I25">
        <f>SUM(I2:I24)</f>
        <v>1.0020000000000002</v>
      </c>
      <c r="J25">
        <f>SUM(J2:J24)</f>
        <v>1.0000000000000002</v>
      </c>
      <c r="K25" s="3">
        <f>SUM(K2:K24)</f>
        <v>0</v>
      </c>
    </row>
    <row r="27" spans="1:11" x14ac:dyDescent="0.2">
      <c r="I27" s="2">
        <f>E2/E25</f>
        <v>2.2595693598140072E-2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BD67-0731-264C-BB7F-0D91FE551204}">
  <dimension ref="A1:B93"/>
  <sheetViews>
    <sheetView topLeftCell="C61" workbookViewId="0">
      <selection activeCell="A70" sqref="A70:B93"/>
    </sheetView>
  </sheetViews>
  <sheetFormatPr baseColWidth="10" defaultRowHeight="16" x14ac:dyDescent="0.2"/>
  <cols>
    <col min="1" max="1" width="57" bestFit="1" customWidth="1"/>
    <col min="2" max="2" width="41.6640625" bestFit="1" customWidth="1"/>
  </cols>
  <sheetData>
    <row r="1" spans="1:2" x14ac:dyDescent="0.2">
      <c r="A1" t="s">
        <v>0</v>
      </c>
      <c r="B1" t="s">
        <v>30</v>
      </c>
    </row>
    <row r="2" spans="1:2" x14ac:dyDescent="0.2">
      <c r="A2" t="s">
        <v>1</v>
      </c>
      <c r="B2" s="1">
        <v>7</v>
      </c>
    </row>
    <row r="3" spans="1:2" x14ac:dyDescent="0.2">
      <c r="A3" t="s">
        <v>2</v>
      </c>
      <c r="B3" s="1">
        <v>2439</v>
      </c>
    </row>
    <row r="4" spans="1:2" x14ac:dyDescent="0.2">
      <c r="A4" t="s">
        <v>3</v>
      </c>
      <c r="B4" s="1">
        <v>-1157</v>
      </c>
    </row>
    <row r="5" spans="1:2" x14ac:dyDescent="0.2">
      <c r="A5" t="s">
        <v>4</v>
      </c>
      <c r="B5" s="1">
        <v>-1125</v>
      </c>
    </row>
    <row r="6" spans="1:2" x14ac:dyDescent="0.2">
      <c r="A6" t="s">
        <v>5</v>
      </c>
      <c r="B6" s="1">
        <v>-3604</v>
      </c>
    </row>
    <row r="7" spans="1:2" x14ac:dyDescent="0.2">
      <c r="A7" t="s">
        <v>6</v>
      </c>
      <c r="B7" s="1">
        <v>-2340</v>
      </c>
    </row>
    <row r="8" spans="1:2" x14ac:dyDescent="0.2">
      <c r="A8" t="s">
        <v>7</v>
      </c>
      <c r="B8" s="1">
        <v>2288</v>
      </c>
    </row>
    <row r="9" spans="1:2" x14ac:dyDescent="0.2">
      <c r="A9" t="s">
        <v>8</v>
      </c>
      <c r="B9" s="1">
        <v>-973</v>
      </c>
    </row>
    <row r="10" spans="1:2" x14ac:dyDescent="0.2">
      <c r="A10" t="s">
        <v>9</v>
      </c>
      <c r="B10" s="1">
        <v>-1063</v>
      </c>
    </row>
    <row r="11" spans="1:2" x14ac:dyDescent="0.2">
      <c r="A11" t="s">
        <v>10</v>
      </c>
      <c r="B11" s="1">
        <v>-229</v>
      </c>
    </row>
    <row r="12" spans="1:2" x14ac:dyDescent="0.2">
      <c r="A12" t="s">
        <v>11</v>
      </c>
      <c r="B12" s="1">
        <v>-4599</v>
      </c>
    </row>
    <row r="13" spans="1:2" x14ac:dyDescent="0.2">
      <c r="A13" t="s">
        <v>12</v>
      </c>
      <c r="B13" s="1">
        <v>-886</v>
      </c>
    </row>
    <row r="14" spans="1:2" x14ac:dyDescent="0.2">
      <c r="A14" t="s">
        <v>13</v>
      </c>
      <c r="B14" s="1">
        <v>-273</v>
      </c>
    </row>
    <row r="15" spans="1:2" x14ac:dyDescent="0.2">
      <c r="A15" t="s">
        <v>14</v>
      </c>
      <c r="B15" s="1">
        <v>-2905</v>
      </c>
    </row>
    <row r="16" spans="1:2" x14ac:dyDescent="0.2">
      <c r="A16" t="s">
        <v>15</v>
      </c>
      <c r="B16" s="1">
        <v>-109</v>
      </c>
    </row>
    <row r="17" spans="1:2" x14ac:dyDescent="0.2">
      <c r="A17" t="s">
        <v>16</v>
      </c>
      <c r="B17" s="1">
        <v>-98</v>
      </c>
    </row>
    <row r="18" spans="1:2" x14ac:dyDescent="0.2">
      <c r="A18" t="s">
        <v>17</v>
      </c>
      <c r="B18" s="1">
        <v>-1333</v>
      </c>
    </row>
    <row r="19" spans="1:2" x14ac:dyDescent="0.2">
      <c r="A19" t="s">
        <v>18</v>
      </c>
      <c r="B19" s="1">
        <v>1023</v>
      </c>
    </row>
    <row r="20" spans="1:2" x14ac:dyDescent="0.2">
      <c r="A20" t="s">
        <v>19</v>
      </c>
      <c r="B20" s="1">
        <v>-321</v>
      </c>
    </row>
    <row r="21" spans="1:2" x14ac:dyDescent="0.2">
      <c r="A21" t="s">
        <v>20</v>
      </c>
      <c r="B21" s="1">
        <v>225</v>
      </c>
    </row>
    <row r="22" spans="1:2" x14ac:dyDescent="0.2">
      <c r="A22" t="s">
        <v>21</v>
      </c>
      <c r="B22" s="1">
        <v>138</v>
      </c>
    </row>
    <row r="23" spans="1:2" x14ac:dyDescent="0.2">
      <c r="A23" t="s">
        <v>22</v>
      </c>
      <c r="B23" s="1">
        <v>-389</v>
      </c>
    </row>
    <row r="24" spans="1:2" x14ac:dyDescent="0.2">
      <c r="A24" t="s">
        <v>23</v>
      </c>
      <c r="B24" s="1">
        <v>270</v>
      </c>
    </row>
    <row r="40" spans="1:2" x14ac:dyDescent="0.2">
      <c r="A40" t="s">
        <v>0</v>
      </c>
      <c r="B40" t="s">
        <v>28</v>
      </c>
    </row>
    <row r="41" spans="1:2" x14ac:dyDescent="0.2">
      <c r="A41" t="s">
        <v>1</v>
      </c>
      <c r="B41">
        <v>3.0000000000000001E-3</v>
      </c>
    </row>
    <row r="42" spans="1:2" x14ac:dyDescent="0.2">
      <c r="A42" t="s">
        <v>2</v>
      </c>
      <c r="B42">
        <v>2.5999999999999999E-2</v>
      </c>
    </row>
    <row r="43" spans="1:2" x14ac:dyDescent="0.2">
      <c r="A43" t="s">
        <v>3</v>
      </c>
      <c r="B43">
        <v>-5.0000000000000001E-3</v>
      </c>
    </row>
    <row r="44" spans="1:2" x14ac:dyDescent="0.2">
      <c r="A44" t="s">
        <v>4</v>
      </c>
      <c r="B44">
        <v>-5.0000000000000001E-3</v>
      </c>
    </row>
    <row r="45" spans="1:2" x14ac:dyDescent="0.2">
      <c r="A45" t="s">
        <v>5</v>
      </c>
      <c r="B45">
        <v>-2.1000000000000001E-2</v>
      </c>
    </row>
    <row r="46" spans="1:2" x14ac:dyDescent="0.2">
      <c r="A46" t="s">
        <v>6</v>
      </c>
      <c r="B46">
        <v>-1.2999999999999999E-2</v>
      </c>
    </row>
    <row r="47" spans="1:2" x14ac:dyDescent="0.2">
      <c r="A47" t="s">
        <v>7</v>
      </c>
      <c r="B47">
        <v>2.9000000000000001E-2</v>
      </c>
    </row>
    <row r="48" spans="1:2" x14ac:dyDescent="0.2">
      <c r="A48" t="s">
        <v>8</v>
      </c>
      <c r="B48">
        <v>-6.0000000000000001E-3</v>
      </c>
    </row>
    <row r="49" spans="1:2" x14ac:dyDescent="0.2">
      <c r="A49" t="s">
        <v>9</v>
      </c>
      <c r="B49">
        <v>6.0000000000000001E-3</v>
      </c>
    </row>
    <row r="50" spans="1:2" x14ac:dyDescent="0.2">
      <c r="A50" t="s">
        <v>10</v>
      </c>
      <c r="B50">
        <v>-2E-3</v>
      </c>
    </row>
    <row r="51" spans="1:2" x14ac:dyDescent="0.2">
      <c r="A51" t="s">
        <v>11</v>
      </c>
      <c r="B51">
        <v>-2.1999999999999999E-2</v>
      </c>
    </row>
    <row r="52" spans="1:2" x14ac:dyDescent="0.2">
      <c r="A52" t="s">
        <v>12</v>
      </c>
      <c r="B52">
        <v>1.0999999999999999E-2</v>
      </c>
    </row>
    <row r="53" spans="1:2" x14ac:dyDescent="0.2">
      <c r="A53" t="s">
        <v>13</v>
      </c>
      <c r="B53">
        <v>-1E-3</v>
      </c>
    </row>
    <row r="54" spans="1:2" x14ac:dyDescent="0.2">
      <c r="A54" t="s">
        <v>14</v>
      </c>
      <c r="B54">
        <v>-1.6E-2</v>
      </c>
    </row>
    <row r="55" spans="1:2" x14ac:dyDescent="0.2">
      <c r="A55" t="s">
        <v>15</v>
      </c>
      <c r="B55">
        <v>0</v>
      </c>
    </row>
    <row r="56" spans="1:2" x14ac:dyDescent="0.2">
      <c r="A56" t="s">
        <v>16</v>
      </c>
      <c r="B56">
        <v>-1E-3</v>
      </c>
    </row>
    <row r="57" spans="1:2" x14ac:dyDescent="0.2">
      <c r="A57" t="s">
        <v>17</v>
      </c>
      <c r="B57">
        <v>-7.0000000000000001E-3</v>
      </c>
    </row>
    <row r="58" spans="1:2" x14ac:dyDescent="0.2">
      <c r="A58" t="s">
        <v>18</v>
      </c>
      <c r="B58">
        <v>1.2999999999999999E-2</v>
      </c>
    </row>
    <row r="59" spans="1:2" x14ac:dyDescent="0.2">
      <c r="A59" t="s">
        <v>19</v>
      </c>
      <c r="B59">
        <v>-2E-3</v>
      </c>
    </row>
    <row r="60" spans="1:2" x14ac:dyDescent="0.2">
      <c r="A60" t="s">
        <v>20</v>
      </c>
      <c r="B60">
        <v>5.0000000000000001E-3</v>
      </c>
    </row>
    <row r="61" spans="1:2" x14ac:dyDescent="0.2">
      <c r="A61" t="s">
        <v>21</v>
      </c>
      <c r="B61">
        <v>2E-3</v>
      </c>
    </row>
    <row r="62" spans="1:2" x14ac:dyDescent="0.2">
      <c r="A62" t="s">
        <v>22</v>
      </c>
      <c r="B62">
        <v>2E-3</v>
      </c>
    </row>
    <row r="63" spans="1:2" x14ac:dyDescent="0.2">
      <c r="A63" t="s">
        <v>23</v>
      </c>
      <c r="B63">
        <v>4.0000000000000001E-3</v>
      </c>
    </row>
    <row r="70" spans="1:2" x14ac:dyDescent="0.2">
      <c r="A70" t="s">
        <v>0</v>
      </c>
      <c r="B70" t="s">
        <v>29</v>
      </c>
    </row>
    <row r="71" spans="1:2" x14ac:dyDescent="0.2">
      <c r="A71" t="s">
        <v>1</v>
      </c>
      <c r="B71" s="2">
        <v>2.3537323470073975E-3</v>
      </c>
    </row>
    <row r="72" spans="1:2" x14ac:dyDescent="0.2">
      <c r="A72" t="s">
        <v>2</v>
      </c>
      <c r="B72" s="2">
        <v>0.49563096931517986</v>
      </c>
    </row>
    <row r="73" spans="1:2" x14ac:dyDescent="0.2">
      <c r="A73" t="s">
        <v>3</v>
      </c>
      <c r="B73" s="2">
        <v>-0.21410066617320503</v>
      </c>
    </row>
    <row r="74" spans="1:2" x14ac:dyDescent="0.2">
      <c r="A74" t="s">
        <v>4</v>
      </c>
      <c r="B74" s="2">
        <v>-0.24552597119161937</v>
      </c>
    </row>
    <row r="75" spans="1:2" x14ac:dyDescent="0.2">
      <c r="A75" t="s">
        <v>5</v>
      </c>
      <c r="B75" s="2">
        <v>-0.35531893916987084</v>
      </c>
    </row>
    <row r="76" spans="1:2" x14ac:dyDescent="0.2">
      <c r="A76" t="s">
        <v>6</v>
      </c>
      <c r="B76" s="2">
        <v>-0.30354131534569984</v>
      </c>
    </row>
    <row r="77" spans="1:2" x14ac:dyDescent="0.2">
      <c r="A77" t="s">
        <v>7</v>
      </c>
      <c r="B77" s="2">
        <v>0.23278054735985348</v>
      </c>
    </row>
    <row r="78" spans="1:2" x14ac:dyDescent="0.2">
      <c r="A78" t="s">
        <v>8</v>
      </c>
      <c r="B78" s="2">
        <v>-0.42084775086505188</v>
      </c>
    </row>
    <row r="79" spans="1:2" x14ac:dyDescent="0.2">
      <c r="A79" t="s">
        <v>9</v>
      </c>
      <c r="B79" s="2">
        <v>-7.0420669095727056E-2</v>
      </c>
    </row>
    <row r="80" spans="1:2" x14ac:dyDescent="0.2">
      <c r="A80" t="s">
        <v>10</v>
      </c>
      <c r="B80" s="2">
        <v>-0.65056818181818177</v>
      </c>
    </row>
    <row r="81" spans="1:2" x14ac:dyDescent="0.2">
      <c r="A81" t="s">
        <v>11</v>
      </c>
      <c r="B81" s="2">
        <v>-0.250968622100955</v>
      </c>
    </row>
    <row r="82" spans="1:2" x14ac:dyDescent="0.2">
      <c r="A82" t="s">
        <v>12</v>
      </c>
      <c r="B82" s="2">
        <v>-4.7067573310667236E-2</v>
      </c>
    </row>
    <row r="83" spans="1:2" x14ac:dyDescent="0.2">
      <c r="A83" t="s">
        <v>13</v>
      </c>
      <c r="B83" s="2">
        <v>-0.27464788732394368</v>
      </c>
    </row>
    <row r="84" spans="1:2" x14ac:dyDescent="0.2">
      <c r="A84" t="s">
        <v>14</v>
      </c>
      <c r="B84" s="2">
        <v>-0.31613886168244643</v>
      </c>
    </row>
    <row r="85" spans="1:2" x14ac:dyDescent="0.2">
      <c r="A85" t="s">
        <v>15</v>
      </c>
      <c r="B85" s="2">
        <v>-0.16148148148148148</v>
      </c>
    </row>
    <row r="86" spans="1:2" x14ac:dyDescent="0.2">
      <c r="A86" t="s">
        <v>16</v>
      </c>
      <c r="B86" s="2">
        <v>-0.42241379310344829</v>
      </c>
    </row>
    <row r="87" spans="1:2" x14ac:dyDescent="0.2">
      <c r="A87" t="s">
        <v>17</v>
      </c>
      <c r="B87" s="2">
        <v>-0.29821029082774048</v>
      </c>
    </row>
    <row r="88" spans="1:2" x14ac:dyDescent="0.2">
      <c r="A88" t="s">
        <v>18</v>
      </c>
      <c r="B88" s="2">
        <v>0.2417296786389414</v>
      </c>
    </row>
    <row r="89" spans="1:2" x14ac:dyDescent="0.2">
      <c r="A89" t="s">
        <v>19</v>
      </c>
      <c r="B89" s="2">
        <v>-0.29234972677595628</v>
      </c>
    </row>
    <row r="90" spans="1:2" x14ac:dyDescent="0.2">
      <c r="A90" t="s">
        <v>20</v>
      </c>
      <c r="B90" s="2">
        <v>6.2034739454094295E-2</v>
      </c>
    </row>
    <row r="91" spans="1:2" x14ac:dyDescent="0.2">
      <c r="A91" t="s">
        <v>21</v>
      </c>
      <c r="B91" s="2">
        <v>0.33173076923076922</v>
      </c>
    </row>
    <row r="92" spans="1:2" x14ac:dyDescent="0.2">
      <c r="A92" t="s">
        <v>22</v>
      </c>
      <c r="B92" s="2">
        <v>-7.8096767717325835E-2</v>
      </c>
    </row>
    <row r="93" spans="1:2" x14ac:dyDescent="0.2">
      <c r="A93" t="s">
        <v>23</v>
      </c>
      <c r="B93" s="2">
        <v>0.21880064829821719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6B5D-09C5-5B4F-9A4D-C7B40F31E4F3}">
  <dimension ref="A1:H23"/>
  <sheetViews>
    <sheetView topLeftCell="C1" zoomScale="149" workbookViewId="0">
      <selection activeCell="F2" sqref="F2:F23"/>
    </sheetView>
  </sheetViews>
  <sheetFormatPr baseColWidth="10" defaultRowHeight="16" x14ac:dyDescent="0.2"/>
  <cols>
    <col min="1" max="1" width="60.6640625" bestFit="1" customWidth="1"/>
    <col min="2" max="2" width="60.6640625" customWidth="1"/>
    <col min="3" max="3" width="36.5" bestFit="1" customWidth="1"/>
    <col min="4" max="6" width="25" bestFit="1" customWidth="1"/>
    <col min="7" max="7" width="44.1640625" bestFit="1" customWidth="1"/>
    <col min="8" max="8" width="40.33203125" bestFit="1" customWidth="1"/>
  </cols>
  <sheetData>
    <row r="1" spans="1:8" x14ac:dyDescent="0.2">
      <c r="A1" t="s">
        <v>81</v>
      </c>
      <c r="B1" t="s">
        <v>82</v>
      </c>
      <c r="C1" t="s">
        <v>89</v>
      </c>
      <c r="D1" t="s">
        <v>73</v>
      </c>
      <c r="E1" t="s">
        <v>74</v>
      </c>
      <c r="F1" t="s">
        <v>75</v>
      </c>
      <c r="G1" t="s">
        <v>76</v>
      </c>
      <c r="H1" t="s">
        <v>29</v>
      </c>
    </row>
    <row r="2" spans="1:8" x14ac:dyDescent="0.2">
      <c r="A2" t="s">
        <v>55</v>
      </c>
      <c r="B2" t="s">
        <v>88</v>
      </c>
      <c r="C2" t="s">
        <v>93</v>
      </c>
      <c r="D2">
        <v>95527</v>
      </c>
      <c r="E2">
        <v>80024</v>
      </c>
      <c r="F2">
        <v>72185</v>
      </c>
      <c r="G2">
        <f>F2-D2</f>
        <v>-23342</v>
      </c>
      <c r="H2">
        <f t="shared" ref="H2:H23" si="0">G2/D2</f>
        <v>-0.24434976498790917</v>
      </c>
    </row>
    <row r="3" spans="1:8" x14ac:dyDescent="0.2">
      <c r="A3" t="s">
        <v>56</v>
      </c>
      <c r="B3" t="s">
        <v>86</v>
      </c>
      <c r="C3" t="s">
        <v>92</v>
      </c>
      <c r="D3">
        <v>200</v>
      </c>
      <c r="E3">
        <v>243</v>
      </c>
      <c r="F3">
        <v>249</v>
      </c>
      <c r="G3">
        <f t="shared" ref="G3:G23" si="1">F3-D3</f>
        <v>49</v>
      </c>
      <c r="H3">
        <f t="shared" si="0"/>
        <v>0.245</v>
      </c>
    </row>
    <row r="4" spans="1:8" x14ac:dyDescent="0.2">
      <c r="A4" t="s">
        <v>57</v>
      </c>
      <c r="B4" t="s">
        <v>88</v>
      </c>
      <c r="C4" t="s">
        <v>93</v>
      </c>
      <c r="D4">
        <v>20759</v>
      </c>
      <c r="E4">
        <v>20228</v>
      </c>
      <c r="F4">
        <v>23372</v>
      </c>
      <c r="G4">
        <f t="shared" si="1"/>
        <v>2613</v>
      </c>
      <c r="H4">
        <f t="shared" si="0"/>
        <v>0.12587311527530229</v>
      </c>
    </row>
    <row r="5" spans="1:8" x14ac:dyDescent="0.2">
      <c r="A5" t="s">
        <v>58</v>
      </c>
      <c r="B5" t="s">
        <v>87</v>
      </c>
      <c r="C5" t="s">
        <v>92</v>
      </c>
      <c r="D5">
        <v>30538</v>
      </c>
      <c r="E5">
        <v>26617</v>
      </c>
      <c r="F5">
        <v>17241</v>
      </c>
      <c r="G5">
        <f t="shared" si="1"/>
        <v>-13297</v>
      </c>
      <c r="H5">
        <f t="shared" si="0"/>
        <v>-0.43542471674634881</v>
      </c>
    </row>
    <row r="6" spans="1:8" x14ac:dyDescent="0.2">
      <c r="A6" t="s">
        <v>59</v>
      </c>
      <c r="B6" t="s">
        <v>83</v>
      </c>
      <c r="C6" t="s">
        <v>90</v>
      </c>
      <c r="D6">
        <v>3420</v>
      </c>
      <c r="E6">
        <v>10882</v>
      </c>
      <c r="F6">
        <v>5144</v>
      </c>
      <c r="G6">
        <f t="shared" si="1"/>
        <v>1724</v>
      </c>
      <c r="H6">
        <f t="shared" si="0"/>
        <v>0.50409356725146204</v>
      </c>
    </row>
    <row r="7" spans="1:8" x14ac:dyDescent="0.2">
      <c r="A7" t="s">
        <v>60</v>
      </c>
      <c r="B7" t="s">
        <v>86</v>
      </c>
      <c r="C7" t="s">
        <v>92</v>
      </c>
      <c r="D7">
        <v>80232</v>
      </c>
      <c r="E7">
        <v>94364</v>
      </c>
      <c r="F7">
        <v>67278</v>
      </c>
      <c r="G7">
        <f t="shared" si="1"/>
        <v>-12954</v>
      </c>
      <c r="H7">
        <f t="shared" si="0"/>
        <v>-0.1614567753514807</v>
      </c>
    </row>
    <row r="8" spans="1:8" x14ac:dyDescent="0.2">
      <c r="A8" t="s">
        <v>61</v>
      </c>
      <c r="B8" t="s">
        <v>83</v>
      </c>
      <c r="C8" t="s">
        <v>90</v>
      </c>
      <c r="D8">
        <v>2673</v>
      </c>
      <c r="E8">
        <v>12479</v>
      </c>
      <c r="F8">
        <v>11419</v>
      </c>
      <c r="G8">
        <f t="shared" si="1"/>
        <v>8746</v>
      </c>
      <c r="H8">
        <f t="shared" si="0"/>
        <v>3.2719790497568275</v>
      </c>
    </row>
    <row r="9" spans="1:8" x14ac:dyDescent="0.2">
      <c r="A9" t="s">
        <v>62</v>
      </c>
      <c r="B9" t="s">
        <v>87</v>
      </c>
      <c r="C9" t="s">
        <v>92</v>
      </c>
      <c r="D9">
        <v>5465</v>
      </c>
      <c r="E9">
        <v>5016</v>
      </c>
      <c r="F9">
        <v>4225</v>
      </c>
      <c r="G9">
        <f t="shared" si="1"/>
        <v>-1240</v>
      </c>
      <c r="H9">
        <f t="shared" si="0"/>
        <v>-0.22689844464775846</v>
      </c>
    </row>
    <row r="10" spans="1:8" x14ac:dyDescent="0.2">
      <c r="A10" t="s">
        <v>63</v>
      </c>
      <c r="B10" t="s">
        <v>87</v>
      </c>
      <c r="C10" t="s">
        <v>92</v>
      </c>
      <c r="D10">
        <v>9556</v>
      </c>
      <c r="E10">
        <v>7289</v>
      </c>
      <c r="F10">
        <v>5259</v>
      </c>
      <c r="G10">
        <f t="shared" si="1"/>
        <v>-4297</v>
      </c>
      <c r="H10">
        <f t="shared" si="0"/>
        <v>-0.44966513185433238</v>
      </c>
    </row>
    <row r="11" spans="1:8" x14ac:dyDescent="0.2">
      <c r="A11" t="s">
        <v>64</v>
      </c>
      <c r="B11" t="s">
        <v>87</v>
      </c>
      <c r="C11" t="s">
        <v>92</v>
      </c>
      <c r="D11">
        <v>3096</v>
      </c>
      <c r="E11">
        <v>1531</v>
      </c>
      <c r="F11">
        <v>1592</v>
      </c>
      <c r="G11">
        <f t="shared" si="1"/>
        <v>-1504</v>
      </c>
      <c r="H11">
        <f t="shared" si="0"/>
        <v>-0.48578811369509045</v>
      </c>
    </row>
    <row r="12" spans="1:8" x14ac:dyDescent="0.2">
      <c r="A12" t="s">
        <v>65</v>
      </c>
      <c r="B12" t="s">
        <v>83</v>
      </c>
      <c r="C12" t="s">
        <v>90</v>
      </c>
      <c r="D12">
        <v>743</v>
      </c>
      <c r="E12">
        <v>1199</v>
      </c>
      <c r="F12">
        <v>481</v>
      </c>
      <c r="G12">
        <f t="shared" si="1"/>
        <v>-262</v>
      </c>
      <c r="H12">
        <f t="shared" si="0"/>
        <v>-0.35262449528936746</v>
      </c>
    </row>
    <row r="13" spans="1:8" x14ac:dyDescent="0.2">
      <c r="A13" t="s">
        <v>66</v>
      </c>
      <c r="B13" t="s">
        <v>83</v>
      </c>
      <c r="C13" t="s">
        <v>90</v>
      </c>
      <c r="D13">
        <v>1110</v>
      </c>
      <c r="E13">
        <v>6650</v>
      </c>
      <c r="F13">
        <v>3360</v>
      </c>
      <c r="G13">
        <f t="shared" si="1"/>
        <v>2250</v>
      </c>
      <c r="H13">
        <f t="shared" si="0"/>
        <v>2.0270270270270272</v>
      </c>
    </row>
    <row r="14" spans="1:8" x14ac:dyDescent="0.2">
      <c r="A14" t="s">
        <v>67</v>
      </c>
      <c r="B14" t="s">
        <v>83</v>
      </c>
      <c r="C14" t="s">
        <v>90</v>
      </c>
      <c r="D14">
        <v>4131</v>
      </c>
      <c r="E14">
        <v>7132</v>
      </c>
      <c r="F14">
        <v>6045</v>
      </c>
      <c r="G14">
        <f t="shared" si="1"/>
        <v>1914</v>
      </c>
      <c r="H14">
        <f t="shared" si="0"/>
        <v>0.46332607116920843</v>
      </c>
    </row>
    <row r="15" spans="1:8" x14ac:dyDescent="0.2">
      <c r="A15" t="s">
        <v>68</v>
      </c>
      <c r="B15" t="s">
        <v>83</v>
      </c>
      <c r="C15" t="s">
        <v>90</v>
      </c>
      <c r="D15">
        <v>9283</v>
      </c>
      <c r="E15">
        <v>13287</v>
      </c>
      <c r="F15">
        <v>12064</v>
      </c>
      <c r="G15">
        <f t="shared" si="1"/>
        <v>2781</v>
      </c>
      <c r="H15">
        <f t="shared" si="0"/>
        <v>0.29957987719487233</v>
      </c>
    </row>
    <row r="16" spans="1:8" x14ac:dyDescent="0.2">
      <c r="A16" t="s">
        <v>69</v>
      </c>
      <c r="B16" t="s">
        <v>83</v>
      </c>
      <c r="C16" t="s">
        <v>90</v>
      </c>
      <c r="D16">
        <v>8168</v>
      </c>
      <c r="E16">
        <v>11948</v>
      </c>
      <c r="F16">
        <v>8873</v>
      </c>
      <c r="G16">
        <f t="shared" si="1"/>
        <v>705</v>
      </c>
      <c r="H16">
        <f t="shared" si="0"/>
        <v>8.6312438785504403E-2</v>
      </c>
    </row>
    <row r="17" spans="1:8" x14ac:dyDescent="0.2">
      <c r="A17" t="s">
        <v>70</v>
      </c>
      <c r="B17" t="s">
        <v>83</v>
      </c>
      <c r="C17" t="s">
        <v>90</v>
      </c>
      <c r="D17">
        <v>7458</v>
      </c>
      <c r="E17">
        <v>8826</v>
      </c>
      <c r="F17">
        <v>7008</v>
      </c>
      <c r="G17">
        <f t="shared" si="1"/>
        <v>-450</v>
      </c>
      <c r="H17">
        <f t="shared" si="0"/>
        <v>-6.0337892196299273E-2</v>
      </c>
    </row>
    <row r="18" spans="1:8" x14ac:dyDescent="0.2">
      <c r="A18" t="s">
        <v>71</v>
      </c>
      <c r="B18" t="s">
        <v>85</v>
      </c>
      <c r="C18" t="s">
        <v>91</v>
      </c>
      <c r="D18">
        <v>408</v>
      </c>
      <c r="E18">
        <v>90</v>
      </c>
      <c r="F18">
        <v>17</v>
      </c>
      <c r="G18">
        <f t="shared" si="1"/>
        <v>-391</v>
      </c>
      <c r="H18">
        <f t="shared" si="0"/>
        <v>-0.95833333333333337</v>
      </c>
    </row>
    <row r="19" spans="1:8" x14ac:dyDescent="0.2">
      <c r="A19" t="s">
        <v>80</v>
      </c>
      <c r="B19" t="s">
        <v>85</v>
      </c>
      <c r="C19" t="s">
        <v>91</v>
      </c>
      <c r="D19">
        <v>253</v>
      </c>
      <c r="E19">
        <v>525</v>
      </c>
      <c r="F19">
        <v>1842</v>
      </c>
      <c r="G19">
        <f t="shared" si="1"/>
        <v>1589</v>
      </c>
      <c r="H19">
        <f t="shared" si="0"/>
        <v>6.2806324110671934</v>
      </c>
    </row>
    <row r="20" spans="1:8" x14ac:dyDescent="0.2">
      <c r="A20" t="s">
        <v>78</v>
      </c>
      <c r="B20" t="s">
        <v>85</v>
      </c>
      <c r="C20" t="s">
        <v>91</v>
      </c>
      <c r="D20">
        <v>12211</v>
      </c>
      <c r="E20">
        <v>18040</v>
      </c>
      <c r="F20">
        <v>17213</v>
      </c>
      <c r="G20">
        <f t="shared" si="1"/>
        <v>5002</v>
      </c>
      <c r="H20">
        <f t="shared" si="0"/>
        <v>0.40963066087953487</v>
      </c>
    </row>
    <row r="21" spans="1:8" x14ac:dyDescent="0.2">
      <c r="A21" t="s">
        <v>77</v>
      </c>
      <c r="B21" t="s">
        <v>84</v>
      </c>
      <c r="C21" t="s">
        <v>90</v>
      </c>
      <c r="D21">
        <v>408</v>
      </c>
      <c r="E21">
        <v>1403</v>
      </c>
      <c r="F21">
        <v>759</v>
      </c>
      <c r="G21">
        <f t="shared" si="1"/>
        <v>351</v>
      </c>
      <c r="H21">
        <f t="shared" si="0"/>
        <v>0.86029411764705888</v>
      </c>
    </row>
    <row r="22" spans="1:8" x14ac:dyDescent="0.2">
      <c r="A22" t="s">
        <v>79</v>
      </c>
      <c r="B22" t="s">
        <v>85</v>
      </c>
      <c r="C22" t="s">
        <v>91</v>
      </c>
      <c r="D22">
        <v>1104</v>
      </c>
      <c r="E22">
        <v>1049</v>
      </c>
      <c r="F22">
        <v>802</v>
      </c>
      <c r="G22">
        <f t="shared" si="1"/>
        <v>-302</v>
      </c>
      <c r="H22">
        <f t="shared" si="0"/>
        <v>-0.27355072463768115</v>
      </c>
    </row>
    <row r="23" spans="1:8" x14ac:dyDescent="0.2">
      <c r="A23" t="s">
        <v>72</v>
      </c>
      <c r="B23" t="s">
        <v>84</v>
      </c>
      <c r="C23" t="s">
        <v>90</v>
      </c>
      <c r="D23">
        <v>268</v>
      </c>
      <c r="E23">
        <v>1098</v>
      </c>
      <c r="F23">
        <v>1240</v>
      </c>
      <c r="G23">
        <f t="shared" si="1"/>
        <v>972</v>
      </c>
      <c r="H23">
        <f t="shared" si="0"/>
        <v>3.6268656716417911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Table_6</vt:lpstr>
      <vt:lpstr>Table_6_graph</vt:lpstr>
      <vt:lpstr>Table_13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 Remenyi</dc:creator>
  <cp:lastModifiedBy>Judit Remenyi</cp:lastModifiedBy>
  <dcterms:created xsi:type="dcterms:W3CDTF">2026-01-26T10:55:58Z</dcterms:created>
  <dcterms:modified xsi:type="dcterms:W3CDTF">2026-01-30T23:47:48Z</dcterms:modified>
</cp:coreProperties>
</file>